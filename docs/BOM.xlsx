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Home\Lumos Ultra Exhaust\LumosAir\docs\"/>
    </mc:Choice>
  </mc:AlternateContent>
  <xr:revisionPtr revIDLastSave="0" documentId="13_ncr:1_{B49EA650-BE9C-43D9-9804-75C953D3EC65}" xr6:coauthVersionLast="47" xr6:coauthVersionMax="47" xr10:uidLastSave="{00000000-0000-0000-0000-000000000000}"/>
  <bookViews>
    <workbookView xWindow="7110" yWindow="3050" windowWidth="28800" windowHeight="15370" xr2:uid="{371F08E5-8B75-4CD8-A419-3F8DDBC3B8F1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14" i="1"/>
  <c r="F15" i="1"/>
  <c r="F8" i="1"/>
  <c r="F9" i="1"/>
  <c r="F7" i="1"/>
  <c r="F5" i="1"/>
  <c r="F3" i="1"/>
  <c r="F2" i="1"/>
  <c r="F4" i="1"/>
</calcChain>
</file>

<file path=xl/sharedStrings.xml><?xml version="1.0" encoding="utf-8"?>
<sst xmlns="http://schemas.openxmlformats.org/spreadsheetml/2006/main" count="165" uniqueCount="108">
  <si>
    <t>Item</t>
  </si>
  <si>
    <t>Qty</t>
  </si>
  <si>
    <t>Where used</t>
  </si>
  <si>
    <t>Approx unit price USD (Sept 2026 - verify)</t>
  </si>
  <si>
    <t>Dimensions (mm)</t>
  </si>
  <si>
    <t>Datasheet / drawing</t>
  </si>
  <si>
    <t>3D model</t>
  </si>
  <si>
    <t>Notes</t>
  </si>
  <si>
    <t>ESP32-WROOM-32 DevKit V1 (DOIT 30-pin)</t>
  </si>
  <si>
    <t>laser node + fan node</t>
  </si>
  <si>
    <t>52 x 28 x ~13 with headers (2 rows of 15 pins)</t>
  </si>
  <si>
    <t>https://www.espboards.dev/esp32/esp32doit-devkit-v1/</t>
  </si>
  <si>
    <t>STEP + F3D: https://www.printables.com/model/1362332-esp32-devkit-v1-board-30-pin</t>
  </si>
  <si>
    <t>Firmware target board = esp32dev. Buy DevKit + expansion board as a matched 30-pin pair (row spacing varies between clones)</t>
  </si>
  <si>
    <t>ESP32 30-pin screw-terminal expansion board (Handson MDU1156 type)</t>
  </si>
  <si>
    <t>65 x 55 x ~20 with DevKit fitted; M3 mounting holes on 60 x 50</t>
  </si>
  <si>
    <t>docs/datasheets/Handson_ESP32_30pin_Expansion_Board_MDU1156.pdf</t>
  </si>
  <si>
    <t>Thangs (community): https://thangs.com/designer/ZackFreedman/3d-model/ESP32%2030-Pin%20Devkit%20V1%20Expansion%20Board%20Enclosure%20Thingy-947443</t>
  </si>
  <si>
    <t>DC jack 7-12 V in -&gt; onboard 5 V/1 A regulator: the fan's 10 V rail plugs straight in (no separate buck). Also USB-C / micro-USB power</t>
  </si>
  <si>
    <t>Sensirion SDP810-500Pa</t>
  </si>
  <si>
    <t>pitot (laser node)</t>
  </si>
  <si>
    <t>29 x 18 body; 24 tall incl. barbs; barbs 5.2 OD / 12.6 apart; 4 pins at 2.0 pitch; 2x M2.5 holes 24 apart</t>
  </si>
  <si>
    <t>docs/datasheets/Sensirion_SDP8xx_Digital_Datasheet_v1.1.pdf (drawing p.11; docs/datasheets/SDP810_dimensions.png)</t>
  </si>
  <si>
    <t>STEP: https://sensirion.com/products/catalog/SDP810-500Pa (Downloads) or https://www.snapeda.com/parts/SDP810-500PA/Sensirion%20AG/view-part/</t>
  </si>
  <si>
    <t>I2C 0x25; 2.7-5.5 V; 3 % of reading + 0.1 Pa zero; bare sensor, pins are 2.0 mm pitch (not 2.54) - mount on Sensirion's SDP800 cap/cable or a small adapter board. 3/16in ID silicone fits the barbs. DigiKey 6605489</t>
  </si>
  <si>
    <t>CFSensor XGZP6897D +/-1 kPa I2C (part no. XGZP6897D001KPDPN)</t>
  </si>
  <si>
    <t>laser_out, post_cyc, bin (laser node); fan_in, fan_out (fan node)</t>
  </si>
  <si>
    <t>SOP8 body 11.0 x 7.0; 9.6 tall incl. barbs; barbs 2.2 OD / 6.19 apart; gull-wing leads 2.54 pitch</t>
  </si>
  <si>
    <t>docs/datasheets/CFSensor_XGZP6897D_Datasheet_v2.7.pdf (drawing p.4; docs/datasheets/XGZP6897D_dimensions.png)</t>
  </si>
  <si>
    <t>No manufacturer STEP - model from the p.4 drawing if needed</t>
  </si>
  <si>
    <t>I2C 0x6D; 2.5-5.5 V; +/-2.5 % FS; K=4096 for 1 kPa range. Barbs are only 2.2 mm: use 2 mm ID silicone at the sensor and a barbed reducer to the 3/16in run. Easiest to buy pre-mounted on a breakout module (search 'XGZP6897D module'); module boards are ~20 x 15</t>
  </si>
  <si>
    <t>TCA9548A I2C multiplexer breakout (Adafruit 2717)</t>
  </si>
  <si>
    <t>laser node</t>
  </si>
  <si>
    <t>30.6 x 17.6 x 2.7</t>
  </si>
  <si>
    <t>https://learn.adafruit.com/adafruit-tca9548a-1-to-8-i2c-multiplexer-breakout/downloads</t>
  </si>
  <si>
    <t>EAGLE + 3D in Adafruit CAD repos linked from the downloads page</t>
  </si>
  <si>
    <t>Needed because all XGZP share 0x6D. 8 ports = room for 3 more channels later</t>
  </si>
  <si>
    <t>BME280 breakout (Adafruit 2652 or GY-BME280 clone)</t>
  </si>
  <si>
    <t>25.2 x 18.0 x 4.6 (Adafruit); ~15 x 12 (GY clone)</t>
  </si>
  <si>
    <t>https://learn.adafruit.com/adafruit-bme280-humidity-barometric-pressure-temperature-sensor-breakout/downloads</t>
  </si>
  <si>
    <t>Adafruit CAD repos linked from the downloads page</t>
  </si>
  <si>
    <t>Air density correction. On the main bus (not behind the mux)</t>
  </si>
  <si>
    <t>PC817 optocoupler (or 2N7000 N-MOSFET) + 330 ohm resistor</t>
  </si>
  <si>
    <t>fan node PWM drive</t>
  </si>
  <si>
    <t>&lt;1</t>
  </si>
  <si>
    <t>DIP-4 7.6 x 4.6 x 3.5 (PC817); TO-92 (2N7000)</t>
  </si>
  <si>
    <t>any PC817 / 2N7000 datasheet</t>
  </si>
  <si>
    <t>generic DIP-4 / TO-92</t>
  </si>
  <si>
    <t>Output transistor pulls the fan's PWM line (pulled up to 10 V inside the fan) to ground. Off = fan full speed (verify on your unit). Mount on a 20 x 20 scrap of perfboard</t>
  </si>
  <si>
    <t>5.5 x 2.1 mm DC barrel plug (centre positive) on the fan pigtail</t>
  </si>
  <si>
    <t>fan node power</t>
  </si>
  <si>
    <t>-</t>
  </si>
  <si>
    <t>Crimp/solder to the +10 V and GND wires of the cut UIS cable; plugs into the expansion board's DC jack</t>
  </si>
  <si>
    <t>AC Infinity UIS cable (genuine; controller cable or UIS extension)</t>
  </si>
  <si>
    <t>fan node pigtail</t>
  </si>
  <si>
    <t>Cut one end; the UIS plug end goes into the S6. Standard USB-C cables do NOT work (tested). 3 wires used: +10 V, GND, PWM</t>
  </si>
  <si>
    <t>Dwyer 166-6-CF pitot-static tube (1/8in dia x 6in insertion / 3in tip / 1/8in NPT compression fitting)</t>
  </si>
  <si>
    <t>4-inch measuring section</t>
  </si>
  <si>
    <t>60-90</t>
  </si>
  <si>
    <t>1/8in (3.2) tube; 6in insertion; 3in tip; fitting 1/8in NPT</t>
  </si>
  <si>
    <t>docs/datasheets/Dwyer_166_pitot_drawing.pdf</t>
  </si>
  <si>
    <t>ASHRAE tip = calibration factor 1. Compression fitting sets depth (centreline = 2in in 4in duct) and seals the hole. Two 1/8in barbs for total/static tubes</t>
  </si>
  <si>
    <t>Hammond 1554H2GYCL enclosure (polycarbonate / clear lid / IP68)</t>
  </si>
  <si>
    <t>20-28</t>
  </si>
  <si>
    <t>180 x 120 x 61 outside; 167 x 107 x 54.5 inside; M3 inserts for optional 1554HPL steel panel</t>
  </si>
  <si>
    <t>docs/datasheets/Hammond_1554H2GYCL_drawing.pdf</t>
  </si>
  <si>
    <t>docs/datasheets/Hammond_1554H2GYCL_STEP.zip (also x_t / DXF at https://www.hammfg.com/part/1554H2GYCL)</t>
  </si>
  <si>
    <t>Identical box for both nodes. Plastic (Wi-Fi). Cheaper no-CAD alternative: generic 150 x 100 x 70 ABS clear-lid junction box (LeMotech etc.) ~$10</t>
  </si>
  <si>
    <t>PG7 nylon cable glands (3-6.5 mm cable)</t>
  </si>
  <si>
    <t>USB cable / fan pigtail / tubing entry</t>
  </si>
  <si>
    <t>12.5 mm panel hole; ~15 hex</t>
  </si>
  <si>
    <t>1 per box for the cable; optionally pass silicone tubes through PG7 glands instead of panel barbs</t>
  </si>
  <si>
    <t>Bulkhead hose barb 3/16in (through-wall / nylon or brass) OR 1/8in NPT bulkhead + barb</t>
  </si>
  <si>
    <t>tube ports on boxes (4 laser incl. 2 pitot; 2 fan)</t>
  </si>
  <si>
    <t>~8 mm panel hole (verify for chosen part)</t>
  </si>
  <si>
    <t>Panel side: 3/16in tube from the duct. Inside: short 3/16in tube to the SDP810, or 3/16in-&gt;2 mm barbed reducer + 2 mm ID tube to each XGZP</t>
  </si>
  <si>
    <t>Barbed reducer 3/16in -&gt; 1/16in (2 mm)</t>
  </si>
  <si>
    <t>inside boxes at each XGZP</t>
  </si>
  <si>
    <t>Silicone tubing 3/16in ID x 5/16in OD / 10 m / box to duct taps (zip-tied along duct)</t>
  </si>
  <si>
    <t>Top-of-duct taps; no low points</t>
  </si>
  <si>
    <t>Silicone tubing 2 mm ID / m / inside boxes to XGZP barbs</t>
  </si>
  <si>
    <t>Duct tap barbs 1/8in hole (3/16in hose barb x 1/8in NPT or printed saddle) + epoxy/RTV</t>
  </si>
  <si>
    <t>laser_out, post_cyc, fan_in, fan_out taps</t>
  </si>
  <si>
    <t>Drill square to the wall and deburr inside</t>
  </si>
  <si>
    <t>1/8in NPT bulkhead barb + nut + rubber washer</t>
  </si>
  <si>
    <t>drum lid (bin tap)</t>
  </si>
  <si>
    <t>Lid is opened to empty the drum - no glue</t>
  </si>
  <si>
    <t>4-inch rigid metal pipe 2-3 ft + couplers + foil tape</t>
  </si>
  <si>
    <t>pitot + post_cyc tap section before the 4-&gt;6 adapter</t>
  </si>
  <si>
    <t>15-25</t>
  </si>
  <si>
    <t>Ground it</t>
  </si>
  <si>
    <t>6-inch rigid metal sleeve 12in + 2 clamps</t>
  </si>
  <si>
    <t>fan_in tap ~6 ft before the fan (spliced into the 6in flex)</t>
  </si>
  <si>
    <t>A tap in corrugated flex reads badly</t>
  </si>
  <si>
    <t>USB-A to micro-USB (or USB-C) cable 6 ft</t>
  </si>
  <si>
    <t>laser node power from PC</t>
  </si>
  <si>
    <t>Match the DevKit's connector</t>
  </si>
  <si>
    <t>Open-cell foam scrap + 3 mm vent hole</t>
  </si>
  <si>
    <t>room-pressure reference vent per box</t>
  </si>
  <si>
    <t>Boxes must NOT be airtight</t>
  </si>
  <si>
    <t>Cyclone separator (steel) + sealed 20-30 gal drum</t>
  </si>
  <si>
    <t>separator</t>
  </si>
  <si>
    <t>400-600</t>
  </si>
  <si>
    <t>See DESIGN.md section 4 before choosing</t>
  </si>
  <si>
    <t>Sourced?</t>
  </si>
  <si>
    <t>Y</t>
  </si>
  <si>
    <t>2.0 Inch LCD Display Module, 240x320 Full Color TFT IPS Screen</t>
  </si>
  <si>
    <t>Ordered?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</si>
</sst>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848BD-8383-464A-B29A-4810314F6AF0}">
  <dimension ref="A1:J25"/>
  <sheetViews>
    <sheetView tabSelected="1" workbookViewId="0">
      <selection activeCell="D7" sqref="D7"/>
    </sheetView>
  </sheetViews>
  <sheetFormatPr defaultRowHeight="14.5" x14ac:dyDescent="0.35"/>
  <cols>
    <col min="1" max="1" width="79.81640625" bestFit="1" customWidth="1"/>
    <col min="2" max="2" width="3.6328125" bestFit="1" customWidth="1"/>
    <col min="3" max="3" width="8.36328125" style="1" bestFit="1" customWidth="1"/>
    <col min="4" max="4" width="8.36328125" style="1" customWidth="1"/>
    <col min="5" max="5" width="51.81640625" bestFit="1" customWidth="1"/>
    <col min="6" max="6" width="34" style="2" bestFit="1" customWidth="1"/>
    <col min="7" max="7" width="81.36328125" bestFit="1" customWidth="1"/>
    <col min="8" max="8" width="100.90625" bestFit="1" customWidth="1"/>
    <col min="9" max="9" width="140.54296875" bestFit="1" customWidth="1"/>
    <col min="10" max="10" width="214.6328125" bestFit="1" customWidth="1"/>
  </cols>
  <sheetData>
    <row r="1" spans="1:10" x14ac:dyDescent="0.35">
      <c r="A1" t="s">
        <v>0</v>
      </c>
      <c r="B1" t="s">
        <v>1</v>
      </c>
      <c r="C1" s="1" t="s">
        <v>104</v>
      </c>
      <c r="D1" s="1" t="s">
        <v>107</v>
      </c>
      <c r="E1" t="s">
        <v>2</v>
      </c>
      <c r="F1" s="2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5">
      <c r="A2" t="s">
        <v>8</v>
      </c>
      <c r="B2">
        <v>2</v>
      </c>
      <c r="C2" s="1" t="s">
        <v>105</v>
      </c>
      <c r="E2" t="s">
        <v>9</v>
      </c>
      <c r="F2" s="2">
        <f xml:space="preserve"> 14.99/4</f>
        <v>3.7475000000000001</v>
      </c>
      <c r="G2" t="s">
        <v>10</v>
      </c>
      <c r="H2" t="s">
        <v>11</v>
      </c>
      <c r="I2" t="s">
        <v>12</v>
      </c>
      <c r="J2" t="s">
        <v>13</v>
      </c>
    </row>
    <row r="3" spans="1:10" x14ac:dyDescent="0.35">
      <c r="A3" t="s">
        <v>14</v>
      </c>
      <c r="B3">
        <v>2</v>
      </c>
      <c r="C3" s="1" t="s">
        <v>105</v>
      </c>
      <c r="E3" t="s">
        <v>9</v>
      </c>
      <c r="F3" s="2">
        <f xml:space="preserve"> 14.99/4</f>
        <v>3.7475000000000001</v>
      </c>
      <c r="G3" t="s">
        <v>15</v>
      </c>
      <c r="H3" t="s">
        <v>16</v>
      </c>
      <c r="I3" t="s">
        <v>17</v>
      </c>
      <c r="J3" t="s">
        <v>18</v>
      </c>
    </row>
    <row r="4" spans="1:10" x14ac:dyDescent="0.35">
      <c r="A4" t="s">
        <v>106</v>
      </c>
      <c r="B4">
        <v>2</v>
      </c>
      <c r="C4" s="1" t="s">
        <v>105</v>
      </c>
      <c r="E4" t="s">
        <v>9</v>
      </c>
      <c r="F4" s="2">
        <f>17.99/2</f>
        <v>8.9949999999999992</v>
      </c>
    </row>
    <row r="5" spans="1:10" x14ac:dyDescent="0.35">
      <c r="A5" t="s">
        <v>19</v>
      </c>
      <c r="B5">
        <v>1</v>
      </c>
      <c r="C5" s="1" t="s">
        <v>105</v>
      </c>
      <c r="E5" t="s">
        <v>20</v>
      </c>
      <c r="F5" s="2">
        <f>31.25/2</f>
        <v>15.625</v>
      </c>
      <c r="G5" t="s">
        <v>21</v>
      </c>
      <c r="H5" t="s">
        <v>22</v>
      </c>
      <c r="I5" t="s">
        <v>23</v>
      </c>
      <c r="J5" t="s">
        <v>24</v>
      </c>
    </row>
    <row r="6" spans="1:10" x14ac:dyDescent="0.35">
      <c r="A6" t="s">
        <v>25</v>
      </c>
      <c r="B6">
        <v>5</v>
      </c>
      <c r="C6" s="1" t="s">
        <v>105</v>
      </c>
      <c r="D6" s="1" t="s">
        <v>105</v>
      </c>
      <c r="E6" t="s">
        <v>26</v>
      </c>
      <c r="F6" s="2">
        <f xml:space="preserve"> 71.9/6</f>
        <v>11.983333333333334</v>
      </c>
      <c r="G6" t="s">
        <v>27</v>
      </c>
      <c r="H6" t="s">
        <v>28</v>
      </c>
      <c r="I6" t="s">
        <v>29</v>
      </c>
      <c r="J6" t="s">
        <v>30</v>
      </c>
    </row>
    <row r="7" spans="1:10" x14ac:dyDescent="0.35">
      <c r="A7" t="s">
        <v>31</v>
      </c>
      <c r="B7">
        <v>1</v>
      </c>
      <c r="C7" s="1" t="s">
        <v>105</v>
      </c>
      <c r="E7" t="s">
        <v>32</v>
      </c>
      <c r="F7" s="2">
        <f>9.99/6</f>
        <v>1.665</v>
      </c>
      <c r="G7" t="s">
        <v>33</v>
      </c>
      <c r="H7" t="s">
        <v>34</v>
      </c>
      <c r="I7" t="s">
        <v>35</v>
      </c>
      <c r="J7" t="s">
        <v>36</v>
      </c>
    </row>
    <row r="8" spans="1:10" x14ac:dyDescent="0.35">
      <c r="A8" t="s">
        <v>37</v>
      </c>
      <c r="B8">
        <v>1</v>
      </c>
      <c r="C8" s="1" t="s">
        <v>105</v>
      </c>
      <c r="E8" t="s">
        <v>32</v>
      </c>
      <c r="F8" s="2">
        <f>18.99/3</f>
        <v>6.3299999999999992</v>
      </c>
      <c r="G8" t="s">
        <v>38</v>
      </c>
      <c r="H8" t="s">
        <v>39</v>
      </c>
      <c r="I8" t="s">
        <v>40</v>
      </c>
      <c r="J8" t="s">
        <v>41</v>
      </c>
    </row>
    <row r="9" spans="1:10" x14ac:dyDescent="0.35">
      <c r="A9" t="s">
        <v>42</v>
      </c>
      <c r="B9">
        <v>1</v>
      </c>
      <c r="C9" s="1" t="s">
        <v>105</v>
      </c>
      <c r="E9" t="s">
        <v>43</v>
      </c>
      <c r="F9" s="2">
        <f>7.99/50</f>
        <v>0.1598</v>
      </c>
      <c r="G9" t="s">
        <v>45</v>
      </c>
      <c r="H9" t="s">
        <v>46</v>
      </c>
      <c r="I9" t="s">
        <v>47</v>
      </c>
      <c r="J9" t="s">
        <v>48</v>
      </c>
    </row>
    <row r="10" spans="1:10" x14ac:dyDescent="0.35">
      <c r="A10" t="s">
        <v>49</v>
      </c>
      <c r="B10">
        <v>1</v>
      </c>
      <c r="E10" t="s">
        <v>50</v>
      </c>
      <c r="F10" s="2">
        <v>1</v>
      </c>
      <c r="G10" t="s">
        <v>51</v>
      </c>
      <c r="H10" t="s">
        <v>51</v>
      </c>
      <c r="I10" t="s">
        <v>51</v>
      </c>
      <c r="J10" t="s">
        <v>52</v>
      </c>
    </row>
    <row r="11" spans="1:10" x14ac:dyDescent="0.35">
      <c r="A11" t="s">
        <v>53</v>
      </c>
      <c r="B11">
        <v>1</v>
      </c>
      <c r="E11" t="s">
        <v>54</v>
      </c>
      <c r="F11" s="2">
        <v>46310</v>
      </c>
      <c r="G11" t="s">
        <v>51</v>
      </c>
      <c r="H11" t="s">
        <v>51</v>
      </c>
      <c r="I11" t="s">
        <v>51</v>
      </c>
      <c r="J11" t="s">
        <v>55</v>
      </c>
    </row>
    <row r="12" spans="1:10" x14ac:dyDescent="0.35">
      <c r="A12" t="s">
        <v>56</v>
      </c>
      <c r="B12">
        <v>1</v>
      </c>
      <c r="E12" t="s">
        <v>57</v>
      </c>
      <c r="F12" s="2" t="s">
        <v>58</v>
      </c>
      <c r="G12" t="s">
        <v>59</v>
      </c>
      <c r="H12" t="s">
        <v>60</v>
      </c>
      <c r="I12" t="s">
        <v>51</v>
      </c>
      <c r="J12" t="s">
        <v>61</v>
      </c>
    </row>
    <row r="13" spans="1:10" x14ac:dyDescent="0.35">
      <c r="A13" t="s">
        <v>62</v>
      </c>
      <c r="B13">
        <v>2</v>
      </c>
      <c r="E13" t="s">
        <v>9</v>
      </c>
      <c r="F13" s="2" t="s">
        <v>63</v>
      </c>
      <c r="G13" t="s">
        <v>64</v>
      </c>
      <c r="H13" t="s">
        <v>65</v>
      </c>
      <c r="I13" t="s">
        <v>66</v>
      </c>
      <c r="J13" t="s">
        <v>67</v>
      </c>
    </row>
    <row r="14" spans="1:10" x14ac:dyDescent="0.35">
      <c r="A14" t="s">
        <v>68</v>
      </c>
      <c r="B14">
        <v>4</v>
      </c>
      <c r="C14" s="1" t="s">
        <v>105</v>
      </c>
      <c r="E14" t="s">
        <v>69</v>
      </c>
      <c r="F14" s="2">
        <f xml:space="preserve"> 9.59/30</f>
        <v>0.31966666666666665</v>
      </c>
      <c r="G14" t="s">
        <v>70</v>
      </c>
      <c r="H14" t="s">
        <v>51</v>
      </c>
      <c r="I14" t="s">
        <v>51</v>
      </c>
      <c r="J14" t="s">
        <v>71</v>
      </c>
    </row>
    <row r="15" spans="1:10" x14ac:dyDescent="0.35">
      <c r="A15" t="s">
        <v>72</v>
      </c>
      <c r="B15">
        <v>6</v>
      </c>
      <c r="C15" s="1" t="s">
        <v>105</v>
      </c>
      <c r="E15" t="s">
        <v>73</v>
      </c>
      <c r="F15" s="2">
        <f>13.99/6</f>
        <v>2.3316666666666666</v>
      </c>
      <c r="G15" t="s">
        <v>74</v>
      </c>
      <c r="H15" t="s">
        <v>51</v>
      </c>
      <c r="I15" t="s">
        <v>51</v>
      </c>
      <c r="J15" t="s">
        <v>75</v>
      </c>
    </row>
    <row r="16" spans="1:10" x14ac:dyDescent="0.35">
      <c r="A16" t="s">
        <v>76</v>
      </c>
      <c r="B16">
        <v>5</v>
      </c>
      <c r="C16" s="1" t="s">
        <v>105</v>
      </c>
      <c r="E16" t="s">
        <v>77</v>
      </c>
      <c r="F16" s="2" t="s">
        <v>44</v>
      </c>
      <c r="G16" t="s">
        <v>51</v>
      </c>
      <c r="H16" t="s">
        <v>51</v>
      </c>
      <c r="I16" t="s">
        <v>51</v>
      </c>
    </row>
    <row r="17" spans="1:10" x14ac:dyDescent="0.35">
      <c r="A17" t="s">
        <v>78</v>
      </c>
      <c r="B17">
        <v>10</v>
      </c>
      <c r="C17" s="1" t="s">
        <v>105</v>
      </c>
      <c r="E17" t="s">
        <v>51</v>
      </c>
      <c r="F17" s="2" t="s">
        <v>51</v>
      </c>
      <c r="G17" t="s">
        <v>51</v>
      </c>
      <c r="H17" t="s">
        <v>79</v>
      </c>
    </row>
    <row r="18" spans="1:10" x14ac:dyDescent="0.35">
      <c r="A18" t="s">
        <v>80</v>
      </c>
      <c r="B18">
        <v>3</v>
      </c>
      <c r="C18" s="1" t="s">
        <v>105</v>
      </c>
      <c r="E18" t="s">
        <v>51</v>
      </c>
      <c r="F18" s="2" t="s">
        <v>51</v>
      </c>
      <c r="G18" t="s">
        <v>51</v>
      </c>
    </row>
    <row r="19" spans="1:10" x14ac:dyDescent="0.35">
      <c r="A19" t="s">
        <v>81</v>
      </c>
      <c r="B19">
        <v>4</v>
      </c>
      <c r="E19" t="s">
        <v>82</v>
      </c>
      <c r="F19" s="2">
        <v>46025</v>
      </c>
      <c r="G19" t="s">
        <v>51</v>
      </c>
      <c r="H19" t="s">
        <v>51</v>
      </c>
      <c r="I19" t="s">
        <v>51</v>
      </c>
      <c r="J19" t="s">
        <v>83</v>
      </c>
    </row>
    <row r="20" spans="1:10" x14ac:dyDescent="0.35">
      <c r="A20" t="s">
        <v>84</v>
      </c>
      <c r="B20">
        <v>1</v>
      </c>
      <c r="E20" t="s">
        <v>85</v>
      </c>
      <c r="F20" s="2">
        <v>3</v>
      </c>
      <c r="G20" t="s">
        <v>51</v>
      </c>
      <c r="H20" t="s">
        <v>51</v>
      </c>
      <c r="I20" t="s">
        <v>51</v>
      </c>
      <c r="J20" t="s">
        <v>86</v>
      </c>
    </row>
    <row r="21" spans="1:10" x14ac:dyDescent="0.35">
      <c r="A21" t="s">
        <v>87</v>
      </c>
      <c r="B21">
        <v>1</v>
      </c>
      <c r="E21" t="s">
        <v>88</v>
      </c>
      <c r="F21" s="2" t="s">
        <v>89</v>
      </c>
      <c r="G21" t="s">
        <v>51</v>
      </c>
      <c r="H21" t="s">
        <v>51</v>
      </c>
      <c r="I21" t="s">
        <v>51</v>
      </c>
      <c r="J21" t="s">
        <v>90</v>
      </c>
    </row>
    <row r="22" spans="1:10" x14ac:dyDescent="0.35">
      <c r="A22" t="s">
        <v>91</v>
      </c>
      <c r="B22">
        <v>1</v>
      </c>
      <c r="E22" t="s">
        <v>92</v>
      </c>
      <c r="F22" s="2">
        <v>10</v>
      </c>
      <c r="G22" t="s">
        <v>51</v>
      </c>
      <c r="H22" t="s">
        <v>51</v>
      </c>
      <c r="I22" t="s">
        <v>51</v>
      </c>
      <c r="J22" t="s">
        <v>93</v>
      </c>
    </row>
    <row r="23" spans="1:10" x14ac:dyDescent="0.35">
      <c r="A23" t="s">
        <v>94</v>
      </c>
      <c r="B23">
        <v>1</v>
      </c>
      <c r="E23" t="s">
        <v>95</v>
      </c>
      <c r="F23" s="2">
        <v>5</v>
      </c>
      <c r="G23" t="s">
        <v>51</v>
      </c>
      <c r="H23" t="s">
        <v>51</v>
      </c>
      <c r="I23" t="s">
        <v>51</v>
      </c>
      <c r="J23" t="s">
        <v>96</v>
      </c>
    </row>
    <row r="24" spans="1:10" x14ac:dyDescent="0.35">
      <c r="A24" t="s">
        <v>97</v>
      </c>
      <c r="B24">
        <v>2</v>
      </c>
      <c r="E24" t="s">
        <v>98</v>
      </c>
      <c r="F24" s="2">
        <v>0</v>
      </c>
      <c r="G24" t="s">
        <v>51</v>
      </c>
      <c r="H24" t="s">
        <v>51</v>
      </c>
      <c r="I24" t="s">
        <v>51</v>
      </c>
      <c r="J24" t="s">
        <v>99</v>
      </c>
    </row>
    <row r="25" spans="1:10" x14ac:dyDescent="0.35">
      <c r="A25" t="s">
        <v>100</v>
      </c>
      <c r="B25">
        <v>1</v>
      </c>
      <c r="E25" t="s">
        <v>101</v>
      </c>
      <c r="F25" s="2" t="s">
        <v>102</v>
      </c>
      <c r="G25" t="s">
        <v>51</v>
      </c>
      <c r="H25" t="s">
        <v>51</v>
      </c>
      <c r="I25" t="s">
        <v>51</v>
      </c>
      <c r="J25" t="s">
        <v>103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Gillie</dc:creator>
  <cp:lastModifiedBy>Lee Gillie</cp:lastModifiedBy>
  <dcterms:created xsi:type="dcterms:W3CDTF">2026-09-21T19:41:19Z</dcterms:created>
  <dcterms:modified xsi:type="dcterms:W3CDTF">2026-09-22T00:16:36Z</dcterms:modified>
</cp:coreProperties>
</file>