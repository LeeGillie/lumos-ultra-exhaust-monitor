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<sst xmlns="http://schemas.openxmlformats.org/spreadsheetml/2006/main" count="240" uniqueCount="165">
  <si>
    <t xml:space="preserve">Item</t>
  </si>
  <si>
    <t xml:space="preserve">Qty</t>
  </si>
  <si>
    <t xml:space="preserve">Sourced?</t>
  </si>
  <si>
    <t xml:space="preserve">Ordered?</t>
  </si>
  <si>
    <t xml:space="preserve">Deleted</t>
  </si>
  <si>
    <t xml:space="preserve">Where used</t>
  </si>
  <si>
    <t xml:space="preserve">Approx unit price USD (Sept 2026 - verify)</t>
  </si>
  <si>
    <t xml:space="preserve">Dimensions (mm)</t>
  </si>
  <si>
    <t xml:space="preserve">Datasheet / drawing</t>
  </si>
  <si>
    <t xml:space="preserve">3D model</t>
  </si>
  <si>
    <t xml:space="preserve">Notes</t>
  </si>
  <si>
    <t xml:space="preserve">ESP32-WROOM-32 DevKit V1 (DOIT 30-pin)</t>
  </si>
  <si>
    <t xml:space="preserve">Y</t>
  </si>
  <si>
    <t xml:space="preserve">X</t>
  </si>
  <si>
    <t xml:space="preserve">laser node + fan node</t>
  </si>
  <si>
    <t xml:space="preserve">52 x 28 x ~13 with headers (2 rows of 15 pins)</t>
  </si>
  <si>
    <t xml:space="preserve">https://www.espboards.dev/esp32/esp32doit-devkit-v1/</t>
  </si>
  <si>
    <t xml:space="preserve">STEP + F3D: https://www.printables.com/model/1362332-esp32-devkit-v1-board-30-pin</t>
  </si>
  <si>
    <t xml:space="preserve">Superseded by the soldered ESP32-WROOM-32E on PCB-B: a socketed DevKit is 13 mm tall and only fits the 20 mm taller 1554G. Firmware target board = esp32dev. Buy DevKit + expansion board as a matched 30-pin pair (row spacing varies between clones)</t>
  </si>
  <si>
    <t xml:space="preserve">ESP32 30-pin screw-terminal expansion board (Handson MDU1156 type)</t>
  </si>
  <si>
    <t xml:space="preserve">65 x 55 x ~20 with DevKit fitted; M3 mounting holes on 60 x 50</t>
  </si>
  <si>
    <t xml:space="preserve">docs/datasheets/Handson_ESP32_30pin_Expansion_Board_MDU1156.pdf</t>
  </si>
  <si>
    <t xml:space="preserve">Thangs (community): https://thangs.com/designer/ZackFreedman/3d-model/ESP32%2030-Pin%20Devkit%20V1%20Expansion%20Board%20Enclosure%20Thingy-947443</t>
  </si>
  <si>
    <t xml:space="preserve">Superseded by PCB-B, the custom processor board. DC jack 7-12 V in -&gt; onboard 5 V/1 A regulator: the fan's 10 V rail plugs straight in (no separate buck). Also USB-C / micro-USB power</t>
  </si>
  <si>
    <t xml:space="preserve">2.0 Inch LCD Display Module, 240x320 Full Color TFT IPS Screen</t>
  </si>
  <si>
    <t xml:space="preserve">Sensirion SDP810-500Pa</t>
  </si>
  <si>
    <t xml:space="preserve">cyc_dp, pitot, encl - 3 per box, both boxes populated identically</t>
  </si>
  <si>
    <t xml:space="preserve">29 x 18 body; 24 tall incl. barbs; barbs 5.2 OD / 12.6 apart; 4 pins at 2.0 pitch; 2x M2.5 holes 24 apart</t>
  </si>
  <si>
    <t xml:space="preserve">docs/datasheets/Sensirion_SDP8xx_Digital_Datasheet_v1.1.pdf (drawing p.11; docs/datasheets/SDP810_dimensions.png)</t>
  </si>
  <si>
    <t xml:space="preserve">STEP: https://sensirion.com/products/catalog/SDP810-500Pa (Downloads) or https://www.snapeda.com/parts/SDP810-500PA/Sensirion%20AG/view-part/</t>
  </si>
  <si>
    <t xml:space="preserve">I2C 0x25; 2.7-5.5 V; 3 % of reading + 0.1 Pa zero; bare sensor, pins are 2.0 mm pitch (not 2.54) - mount on Sensirion's SDP800 cap/cable or a small adapter board. 3/16in ID silicone fits the barbs. DigiKey 6605489</t>
  </si>
  <si>
    <t xml:space="preserve">CFSensor XGZP6897D +/-1 kPa I2C (part no. XGZP6897D001KPDPN)</t>
  </si>
  <si>
    <t xml:space="preserve">bin, run_in - 2 per box, both boxes populated identically</t>
  </si>
  <si>
    <t xml:space="preserve">SOP8 body 11.0 x 7.0; 9.6 tall incl. barbs; barbs 2.2 OD / 6.19 apart; gull-wing leads 2.54 pitch</t>
  </si>
  <si>
    <t xml:space="preserve">docs/datasheets/CFSensor_XGZP6897D_Datasheet_v2.7.pdf (drawing p.4; docs/datasheets/XGZP6897D_dimensions.png)</t>
  </si>
  <si>
    <t xml:space="preserve">No manufacturer STEP - model from the p.4 drawing if needed</t>
  </si>
  <si>
    <t xml:space="preserve">I2C 0x6D; 2.5-5.5 V; +/-2.5 % FS; K=4096 for 1 kPa range. Barbs are only 2.2 mm: use 2 mm ID silicone at the sensor and a barbed reducer to the 3/16in run. Easiest to buy pre-mounted on a breakout module (search 'XGZP6897D module'); module boards are ~20 x 15</t>
  </si>
  <si>
    <t xml:space="preserve">TCA9548A I2C multiplexer breakout (Adafruit 2717)</t>
  </si>
  <si>
    <t xml:space="preserve">laser node</t>
  </si>
  <si>
    <t xml:space="preserve">30.6 x 17.6 x 2.7</t>
  </si>
  <si>
    <t xml:space="preserve">https://learn.adafruit.com/adafruit-tca9548a-1-to-8-i2c-multiplexer-breakout/downloads</t>
  </si>
  <si>
    <t xml:space="preserve">EAGLE + 3D in Adafruit CAD repos linked from the downloads page</t>
  </si>
  <si>
    <t xml:space="preserve">Superseded by the bare TCA9548A (TSSOP-24) soldered to PCB-B. Needed because all XGZP share 0x6D. 8 ports = room for 3 more channels later</t>
  </si>
  <si>
    <t xml:space="preserve">BME280 breakout (Adafruit 2652 or GY-BME280 clone)</t>
  </si>
  <si>
    <t xml:space="preserve">25.2 x 18.0 x 4.6 (Adafruit); ~15 x 12 (GY clone)</t>
  </si>
  <si>
    <t xml:space="preserve">https://learn.adafruit.com/adafruit-bme280-humidity-barometric-pressure-temperature-sensor-breakout/downloads</t>
  </si>
  <si>
    <t xml:space="preserve">Adafruit CAD repos linked from the downloads page</t>
  </si>
  <si>
    <t xml:space="preserve">Superseded by the bare BME280 (LGA) soldered to PCB-B. Air density correction. On the main bus (not behind the mux)</t>
  </si>
  <si>
    <t xml:space="preserve">PC817 optocoupler (or 2N7000 N-MOSFET) + 330 ohm resistor</t>
  </si>
  <si>
    <t xml:space="preserve">fan drive on PCB-B, fitted in both boxes</t>
  </si>
  <si>
    <t xml:space="preserve">DIP-4 7.6 x 4.6 x 3.5 (PC817); TO-92 (2N7000)</t>
  </si>
  <si>
    <t xml:space="preserve">any PC817 / 2N7000 datasheet</t>
  </si>
  <si>
    <t xml:space="preserve">generic DIP-4 / TO-92</t>
  </si>
  <si>
    <t xml:space="preserve">Output transistor pulls the fan's PWM line (pulled up to 10 V inside the fan) to ground. Off = fan full speed (verify on your unit). Mount on a 20 x 20 scrap of perfboard</t>
  </si>
  <si>
    <t xml:space="preserve">5.5 x 2.1 mm DC barrel plug (centre positive) on the fan pigtail</t>
  </si>
  <si>
    <t xml:space="preserve">fan node power</t>
  </si>
  <si>
    <t xml:space="preserve">-</t>
  </si>
  <si>
    <t xml:space="preserve">Crimp/solder to the +10 V and GND wires of the cut UIS cable; plugs into the expansion board's DC jack</t>
  </si>
  <si>
    <t xml:space="preserve">AC Infinity UIS cable (genuine; controller cable or UIS extension)</t>
  </si>
  <si>
    <t xml:space="preserve">fan node pigtail</t>
  </si>
  <si>
    <t xml:space="preserve">10-15</t>
  </si>
  <si>
    <t xml:space="preserve">Cut one end; the UIS plug end goes into the S6. Standard USB-C cables do NOT work (tested). 3 wires used: +10 V, GND, PWM</t>
  </si>
  <si>
    <t xml:space="preserve">Dwyer 166-6-CF pitot-static tube (1/8in dia x 6in insertion / 3in tip / 1/8in NPT compression fitting)</t>
  </si>
  <si>
    <t xml:space="preserve">4-inch measuring section</t>
  </si>
  <si>
    <t xml:space="preserve">60-90</t>
  </si>
  <si>
    <t xml:space="preserve">1/8in (3.2) tube; 6in insertion; 3in tip; fitting 1/8in NPT</t>
  </si>
  <si>
    <t xml:space="preserve">docs/datasheets/Dwyer_166_pitot_drawing.pdf</t>
  </si>
  <si>
    <t xml:space="preserve">ASHRAE tip = calibration factor 1. Compression fitting sets depth (centreline = 2in in 4in duct) and seals the hole. Two 1/8in barbs for total/static tubes</t>
  </si>
  <si>
    <t xml:space="preserve">Hammond 1554H2GYCL enclosure (polycarbonate / clear lid / IP68)</t>
  </si>
  <si>
    <t xml:space="preserve">20-28</t>
  </si>
  <si>
    <t xml:space="preserve">180 x 120 x 61 outside; 167 x 107 x 54.5 inside; M3 inserts for optional 1554HPL steel panel</t>
  </si>
  <si>
    <t xml:space="preserve">docs/datasheets/Hammond_1554H2GYCL_drawing.pdf</t>
  </si>
  <si>
    <t xml:space="preserve">docs/datasheets/Hammond_1554H2GYCL_STEP.zip (also x_t / DXF at https://www.hammfg.com/part/1554H2GYCL)</t>
  </si>
  <si>
    <t xml:space="preserve">Superseded by the 1554F2GYCL: the stacked two-board layout halved the footprint to 120 x 90. Identical box for both nodes. Plastic (Wi-Fi). Cheaper no-CAD alternative: generic 150 x 100 x 70 ABS clear-lid junction box (LeMotech etc.) ~$10</t>
  </si>
  <si>
    <t xml:space="preserve">PG7 nylon cable glands (3-6.5 mm cable)</t>
  </si>
  <si>
    <t xml:space="preserve">USB cable / fan pigtail / tubing entry</t>
  </si>
  <si>
    <t xml:space="preserve">12.5 mm panel hole; ~15 hex</t>
  </si>
  <si>
    <t xml:space="preserve">1 per box for the cable; optionally pass silicone tubes through PG7 glands instead of panel barbs</t>
  </si>
  <si>
    <t xml:space="preserve">Bulkhead hose barb 3/16in (through-wall / nylon or brass) OR 1/8in NPT bulkhead + barb</t>
  </si>
  <si>
    <t xml:space="preserve">8 bulkheads per box, both boxes drilled identically; unused ones take blanking plugs</t>
  </si>
  <si>
    <t xml:space="preserve">~8 mm panel hole (verify for chosen part)</t>
  </si>
  <si>
    <t xml:space="preserve">Panel side: 3/16in tube from the duct. Inside: short 3/16in tube to the SDP810, or 3/16in-&gt;2 mm barbed reducer + 2 mm ID tube to each XGZP</t>
  </si>
  <si>
    <t xml:space="preserve">Barbed reducer 3/16in -&gt; 1/16in (2 mm)</t>
  </si>
  <si>
    <t xml:space="preserve">inside the boxes, one per XGZP - 2 per box</t>
  </si>
  <si>
    <t xml:space="preserve">&lt;1</t>
  </si>
  <si>
    <t xml:space="preserve">Silicone tubing 3/16in ID x 5/16in OD / 10 m / box to duct taps (zip-tied along duct)</t>
  </si>
  <si>
    <t xml:space="preserve">Top-of-duct taps; no low points</t>
  </si>
  <si>
    <t xml:space="preserve">Silicone tubing 2 mm ID / m / inside boxes to XGZP barbs</t>
  </si>
  <si>
    <t xml:space="preserve">Duct tap barbs 1/8in hole (3/16in hose barb x 1/8in NPT or printed saddle) + epoxy/RTV</t>
  </si>
  <si>
    <t xml:space="preserve">laser_out, post_cyc, fan_in, fan_out taps</t>
  </si>
  <si>
    <t xml:space="preserve">1-3</t>
  </si>
  <si>
    <t xml:space="preserve">Drill square to the wall and deburr inside</t>
  </si>
  <si>
    <t xml:space="preserve">1/8in NPT bulkhead barb + nut + rubber washer</t>
  </si>
  <si>
    <t xml:space="preserve">drum lid (bin tap)</t>
  </si>
  <si>
    <t xml:space="preserve">Lid is opened to empty the drum - no glue</t>
  </si>
  <si>
    <t xml:space="preserve">4-inch rigid metal pipe 2-3 ft + couplers + foil tape</t>
  </si>
  <si>
    <t xml:space="preserve">pitot + post_cyc tap section before the 4-&gt;6 adapter</t>
  </si>
  <si>
    <t xml:space="preserve">15-25</t>
  </si>
  <si>
    <t xml:space="preserve">Ground it</t>
  </si>
  <si>
    <t xml:space="preserve">6-inch rigid metal sleeve 12in + 2 clamps</t>
  </si>
  <si>
    <t xml:space="preserve">fan_in tap ~6 ft before the fan (spliced into the 6in flex)</t>
  </si>
  <si>
    <t xml:space="preserve">A tap in corrugated flex reads badly</t>
  </si>
  <si>
    <t xml:space="preserve">USB-A to micro-USB (or USB-C) cable 6 ft</t>
  </si>
  <si>
    <t xml:space="preserve">laser node power from PC</t>
  </si>
  <si>
    <t xml:space="preserve">Match the DevKit's connector</t>
  </si>
  <si>
    <t xml:space="preserve">Open-cell foam scrap + 3 mm vent hole</t>
  </si>
  <si>
    <t xml:space="preserve">room-pressure reference vent per box</t>
  </si>
  <si>
    <t xml:space="preserve">Superseded by the dedicated VENT bulkhead, which is the room-pressure reference for the bin, run and enclosure channels. Boxes must NOT be airtight</t>
  </si>
  <si>
    <t xml:space="preserve">Cyclone separator (steel) + sealed 20-30 gal drum</t>
  </si>
  <si>
    <t xml:space="preserve">separator</t>
  </si>
  <si>
    <t xml:space="preserve">400-600</t>
  </si>
  <si>
    <t xml:space="preserve">See DESIGN.md section 4 before choosing</t>
  </si>
  <si>
    <t xml:space="preserve">ESP32-WROOM-32E module (bare, soldered to PCB-B)</t>
  </si>
  <si>
    <t xml:space="preserve">3-5</t>
  </si>
  <si>
    <t xml:space="preserve">18 x 25.5 x 3.1</t>
  </si>
  <si>
    <t xml:space="preserve">https://www.espressif.com/sites/default/files/documentation/esp32-wroom-32e_esp32-wroom-32ue_datasheet_en.pdf</t>
  </si>
  <si>
    <t xml:space="preserve">Espressif provides a STEP for the module</t>
  </si>
  <si>
    <t xml:space="preserve">Replaces the DevKit. Has no USB, so programming and 5 V come from the USB-serial breakout below.</t>
  </si>
  <si>
    <t xml:space="preserve">USB-C breakout + USB-serial (CP2102 or CH340) for flashing and 5 V</t>
  </si>
  <si>
    <t xml:space="preserve">PCB-B programming header</t>
  </si>
  <si>
    <t xml:space="preserve">4-8</t>
  </si>
  <si>
    <t xml:space="preserve">~15 x 13 (breakout)</t>
  </si>
  <si>
    <t xml:space="preserve">docs/3D Models/usb_c_breakout_board_approx.obj</t>
  </si>
  <si>
    <t xml:space="preserve">Needed because the bare module has no USB. Only for flashing; OTA after that.</t>
  </si>
  <si>
    <t xml:space="preserve">Custom PCB-A (sensors) + PCB-B (processor), 2-layer, 105 x 41 mm</t>
  </si>
  <si>
    <t xml:space="preserve">one pair per node</t>
  </si>
  <si>
    <t xml:space="preserve">105 x 41 x 1.6 each</t>
  </si>
  <si>
    <t xml:space="preserve">cad/out/pcb_a_outline.dxf, cad/out/pcb_b_outline.dxf</t>
  </si>
  <si>
    <t xml:space="preserve">generated from cad/enclosure.py</t>
  </si>
  <si>
    <t xml:space="preserve">Board outline + M3 holes come out of the CAD model. 10 boards for two 5-off orders; 4 used.</t>
  </si>
  <si>
    <t xml:space="preserve">TCA9548A I2C multiplexer, bare (TSSOP-24)</t>
  </si>
  <si>
    <t xml:space="preserve">PCB-B, one per box</t>
  </si>
  <si>
    <t xml:space="preserve">1.50-3</t>
  </si>
  <si>
    <t xml:space="preserve">7.8 x 6.4 x 1.2</t>
  </si>
  <si>
    <t xml:space="preserve">https://www.ti.com/lit/ds/symlink/tca9548a.pdf</t>
  </si>
  <si>
    <t xml:space="preserve">TI provides a STEP</t>
  </si>
  <si>
    <t xml:space="preserve">Needed because every XGZP shares address 0x6D.</t>
  </si>
  <si>
    <t xml:space="preserve">BME280 sensor, bare (LGA)</t>
  </si>
  <si>
    <t xml:space="preserve">PCB-B, both nodes</t>
  </si>
  <si>
    <t xml:space="preserve">2-4</t>
  </si>
  <si>
    <t xml:space="preserve">2.5 x 2.5 x 0.93</t>
  </si>
  <si>
    <t xml:space="preserve">https://www.bosch-sensortec.com/products/environmental-sensors/humidity-sensors-bme280/</t>
  </si>
  <si>
    <t xml:space="preserve">Bosch provides a STEP</t>
  </si>
  <si>
    <t xml:space="preserve">Air density correction. Keep it away from the ESP32 to avoid self-heating.</t>
  </si>
  <si>
    <t xml:space="preserve">Hammond 1554F2GYCL enclosure (polycarbonate / clear lid / IP68)</t>
  </si>
  <si>
    <t xml:space="preserve">120 x 90 x 60.5 outside; ~113 x 79 x 54.5 inside</t>
  </si>
  <si>
    <t xml:space="preserve">Hammond 1554 series drawing</t>
  </si>
  <si>
    <t xml:space="preserve">Hammond provides STEP per size</t>
  </si>
  <si>
    <t xml:space="preserve">Identical box for both nodes, built and populated the same; the node works out its role from which taps and power are connected. Clear lid means the display needs no cut-out.</t>
  </si>
  <si>
    <t xml:space="preserve">90 deg push-on barbed elbow, 3/16in</t>
  </si>
  <si>
    <t xml:space="preserve">one per sensor port on PCB-A - 7 per box</t>
  </si>
  <si>
    <t xml:space="preserve">~12 arm; fits the 5.2 mm SDP810 barb</t>
  </si>
  <si>
    <t xml:space="preserve">Turns each hose at the sensor so it runs almost straight to the wall. Without these the box needs 25 mm more height - see cad/enclosure.py --compare.</t>
  </si>
  <si>
    <t xml:space="preserve">12 mm illuminated latching push button (anti-vandal)</t>
  </si>
  <si>
    <t xml:space="preserve">front panel power switch, one per box</t>
  </si>
  <si>
    <t xml:space="preserve">12 mm panel hole; ~15 body dia x 22 long</t>
  </si>
  <si>
    <t xml:space="preserve">The ring is the power-on indicator, so there is no separate LED to drill for.</t>
  </si>
  <si>
    <t xml:space="preserve">M3 standoff / spacer / screw kit (brass, assorted)</t>
  </si>
  <si>
    <t xml:space="preserve">PCB-A to floor, PCB-B above it, display on PCB-B</t>
  </si>
  <si>
    <t xml:space="preserve">4 mm under PCB-A; ~28 mm PCB-A to PCB-B; 6 mm under the display</t>
  </si>
  <si>
    <t xml:space="preserve">Heights come from the fitment report, cad/out/fitment_report_laser.txt.</t>
  </si>
  <si>
    <t xml:space="preserve">Blanking plugs for unused bulkheads</t>
  </si>
  <si>
    <t xml:space="preserve">any bulkhead with no duct tap on it</t>
  </si>
  <si>
    <t xml:space="preserve">to suit the 8 mm bulkhead</t>
  </si>
  <si>
    <t xml:space="preserve">Both boxes are drilled and populated identically; each plugs the ports its location does not use. VENT always stays open.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</si>
</sst>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79.82"/>
    <col collapsed="false" customWidth="true" hidden="false" outlineLevel="0" max="2" min="2" style="0" width="3.64"/>
    <col collapsed="false" customWidth="true" hidden="false" outlineLevel="0" max="4" min="3" style="1" width="8.37"/>
    <col collapsed="false" customWidth="true" hidden="false" outlineLevel="0" max="5" min="5" style="0" width="8.4"/>
    <col collapsed="false" customWidth="true" hidden="false" outlineLevel="0" max="6" min="6" style="2" width="51.81"/>
    <col collapsed="false" customWidth="true" hidden="false" outlineLevel="0" max="7" min="7" style="0" width="34"/>
    <col collapsed="false" customWidth="true" hidden="false" outlineLevel="0" max="8" min="8" style="0" width="81.36"/>
    <col collapsed="false" customWidth="true" hidden="false" outlineLevel="0" max="9" min="9" style="0" width="100.91"/>
    <col collapsed="false" customWidth="true" hidden="false" outlineLevel="0" max="10" min="10" style="0" width="140.54"/>
    <col collapsed="false" customWidth="true" hidden="false" outlineLevel="0" max="11" min="11" style="0" width="214.64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1" t="s">
        <v>2</v>
      </c>
      <c r="D1" s="1" t="s">
        <v>3</v>
      </c>
      <c r="E1" s="3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4.25" hidden="false" customHeight="false" outlineLevel="0" collapsed="false">
      <c r="A2" s="0" t="s">
        <v>11</v>
      </c>
      <c r="B2" s="0" t="n">
        <v>2</v>
      </c>
      <c r="C2" s="1" t="s">
        <v>12</v>
      </c>
      <c r="E2" s="3" t="s">
        <v>13</v>
      </c>
      <c r="F2" s="2" t="s">
        <v>14</v>
      </c>
      <c r="G2" s="2" t="n">
        <f aca="false">14.99/4</f>
        <v>3.7475</v>
      </c>
      <c r="H2" s="3" t="s">
        <v>15</v>
      </c>
      <c r="I2" s="3" t="s">
        <v>16</v>
      </c>
      <c r="J2" s="3" t="s">
        <v>17</v>
      </c>
      <c r="K2" s="3" t="s">
        <v>18</v>
      </c>
    </row>
    <row r="3" customFormat="false" ht="14.25" hidden="false" customHeight="false" outlineLevel="0" collapsed="false">
      <c r="A3" s="0" t="s">
        <v>19</v>
      </c>
      <c r="B3" s="0" t="n">
        <v>2</v>
      </c>
      <c r="C3" s="1" t="s">
        <v>12</v>
      </c>
      <c r="E3" s="3" t="s">
        <v>13</v>
      </c>
      <c r="F3" s="2" t="s">
        <v>14</v>
      </c>
      <c r="G3" s="2" t="n">
        <f aca="false">14.99/4</f>
        <v>3.7475</v>
      </c>
      <c r="H3" s="3" t="s">
        <v>20</v>
      </c>
      <c r="I3" s="3" t="s">
        <v>21</v>
      </c>
      <c r="J3" s="3" t="s">
        <v>22</v>
      </c>
      <c r="K3" s="3" t="s">
        <v>23</v>
      </c>
    </row>
    <row r="4" customFormat="false" ht="14.25" hidden="false" customHeight="false" outlineLevel="0" collapsed="false">
      <c r="A4" s="0" t="s">
        <v>24</v>
      </c>
      <c r="B4" s="0" t="n">
        <v>2</v>
      </c>
      <c r="C4" s="1" t="s">
        <v>12</v>
      </c>
      <c r="F4" s="2" t="s">
        <v>14</v>
      </c>
      <c r="G4" s="2" t="n">
        <f aca="false">17.99/2</f>
        <v>8.995</v>
      </c>
    </row>
    <row r="5" customFormat="false" ht="14.25" hidden="false" customHeight="false" outlineLevel="0" collapsed="false">
      <c r="A5" s="0" t="s">
        <v>25</v>
      </c>
      <c r="B5" s="0" t="n">
        <v>6</v>
      </c>
      <c r="C5" s="1" t="s">
        <v>12</v>
      </c>
      <c r="F5" s="2" t="s">
        <v>26</v>
      </c>
      <c r="G5" s="2" t="n">
        <f aca="false">31.25/2</f>
        <v>15.625</v>
      </c>
      <c r="H5" s="3" t="s">
        <v>27</v>
      </c>
      <c r="I5" s="3" t="s">
        <v>28</v>
      </c>
      <c r="J5" s="3" t="s">
        <v>29</v>
      </c>
      <c r="K5" s="3" t="s">
        <v>30</v>
      </c>
    </row>
    <row r="6" customFormat="false" ht="14.25" hidden="false" customHeight="false" outlineLevel="0" collapsed="false">
      <c r="A6" s="0" t="s">
        <v>31</v>
      </c>
      <c r="B6" s="0" t="n">
        <v>4</v>
      </c>
      <c r="C6" s="1" t="s">
        <v>12</v>
      </c>
      <c r="D6" s="1" t="s">
        <v>12</v>
      </c>
      <c r="F6" s="2" t="s">
        <v>32</v>
      </c>
      <c r="G6" s="2" t="n">
        <f aca="false">71.9/6</f>
        <v>11.9833333333333</v>
      </c>
      <c r="H6" s="3" t="s">
        <v>33</v>
      </c>
      <c r="I6" s="3" t="s">
        <v>34</v>
      </c>
      <c r="J6" s="3" t="s">
        <v>35</v>
      </c>
      <c r="K6" s="3" t="s">
        <v>36</v>
      </c>
    </row>
    <row r="7" customFormat="false" ht="14.25" hidden="false" customHeight="false" outlineLevel="0" collapsed="false">
      <c r="A7" s="0" t="s">
        <v>37</v>
      </c>
      <c r="B7" s="0" t="n">
        <v>1</v>
      </c>
      <c r="C7" s="1" t="s">
        <v>12</v>
      </c>
      <c r="E7" s="3" t="s">
        <v>13</v>
      </c>
      <c r="F7" s="2" t="s">
        <v>38</v>
      </c>
      <c r="G7" s="2" t="n">
        <f aca="false">9.99/6</f>
        <v>1.665</v>
      </c>
      <c r="H7" s="3" t="s">
        <v>39</v>
      </c>
      <c r="I7" s="3" t="s">
        <v>40</v>
      </c>
      <c r="J7" s="3" t="s">
        <v>41</v>
      </c>
      <c r="K7" s="3" t="s">
        <v>42</v>
      </c>
    </row>
    <row r="8" customFormat="false" ht="14.25" hidden="false" customHeight="false" outlineLevel="0" collapsed="false">
      <c r="A8" s="0" t="s">
        <v>43</v>
      </c>
      <c r="B8" s="0" t="n">
        <v>1</v>
      </c>
      <c r="C8" s="1" t="s">
        <v>12</v>
      </c>
      <c r="E8" s="3" t="s">
        <v>13</v>
      </c>
      <c r="F8" s="2" t="s">
        <v>38</v>
      </c>
      <c r="G8" s="2" t="n">
        <f aca="false">18.99/3</f>
        <v>6.33</v>
      </c>
      <c r="H8" s="3" t="s">
        <v>44</v>
      </c>
      <c r="I8" s="3" t="s">
        <v>45</v>
      </c>
      <c r="J8" s="3" t="s">
        <v>46</v>
      </c>
      <c r="K8" s="3" t="s">
        <v>47</v>
      </c>
    </row>
    <row r="9" customFormat="false" ht="14.25" hidden="false" customHeight="false" outlineLevel="0" collapsed="false">
      <c r="A9" s="0" t="s">
        <v>48</v>
      </c>
      <c r="B9" s="0" t="n">
        <v>2</v>
      </c>
      <c r="C9" s="1" t="s">
        <v>12</v>
      </c>
      <c r="F9" s="2" t="s">
        <v>49</v>
      </c>
      <c r="G9" s="2" t="n">
        <f aca="false">7.99/50</f>
        <v>0.1598</v>
      </c>
      <c r="H9" s="3" t="s">
        <v>50</v>
      </c>
      <c r="I9" s="3" t="s">
        <v>51</v>
      </c>
      <c r="J9" s="3" t="s">
        <v>52</v>
      </c>
      <c r="K9" s="3" t="s">
        <v>53</v>
      </c>
    </row>
    <row r="10" customFormat="false" ht="14.25" hidden="false" customHeight="false" outlineLevel="0" collapsed="false">
      <c r="A10" s="0" t="s">
        <v>54</v>
      </c>
      <c r="B10" s="0" t="n">
        <v>1</v>
      </c>
      <c r="F10" s="2" t="s">
        <v>55</v>
      </c>
      <c r="G10" s="2" t="n">
        <v>1</v>
      </c>
      <c r="H10" s="3" t="s">
        <v>56</v>
      </c>
      <c r="I10" s="3" t="s">
        <v>56</v>
      </c>
      <c r="J10" s="3" t="s">
        <v>56</v>
      </c>
      <c r="K10" s="3" t="s">
        <v>57</v>
      </c>
    </row>
    <row r="11" customFormat="false" ht="14.25" hidden="false" customHeight="false" outlineLevel="0" collapsed="false">
      <c r="A11" s="0" t="s">
        <v>58</v>
      </c>
      <c r="B11" s="0" t="n">
        <v>1</v>
      </c>
      <c r="F11" s="2" t="s">
        <v>59</v>
      </c>
      <c r="G11" s="2" t="s">
        <v>60</v>
      </c>
      <c r="H11" s="3" t="s">
        <v>56</v>
      </c>
      <c r="I11" s="3" t="s">
        <v>56</v>
      </c>
      <c r="J11" s="3" t="s">
        <v>56</v>
      </c>
      <c r="K11" s="3" t="s">
        <v>61</v>
      </c>
    </row>
    <row r="12" customFormat="false" ht="14.25" hidden="false" customHeight="false" outlineLevel="0" collapsed="false">
      <c r="A12" s="0" t="s">
        <v>62</v>
      </c>
      <c r="B12" s="0" t="n">
        <v>1</v>
      </c>
      <c r="F12" s="2" t="s">
        <v>63</v>
      </c>
      <c r="G12" s="2" t="s">
        <v>64</v>
      </c>
      <c r="H12" s="3" t="s">
        <v>65</v>
      </c>
      <c r="I12" s="3" t="s">
        <v>66</v>
      </c>
      <c r="J12" s="3" t="s">
        <v>56</v>
      </c>
      <c r="K12" s="3" t="s">
        <v>67</v>
      </c>
    </row>
    <row r="13" customFormat="false" ht="14.25" hidden="false" customHeight="false" outlineLevel="0" collapsed="false">
      <c r="A13" s="0" t="s">
        <v>68</v>
      </c>
      <c r="B13" s="0" t="n">
        <v>2</v>
      </c>
      <c r="E13" s="3" t="s">
        <v>13</v>
      </c>
      <c r="F13" s="2" t="s">
        <v>14</v>
      </c>
      <c r="G13" s="2" t="s">
        <v>69</v>
      </c>
      <c r="H13" s="3" t="s">
        <v>70</v>
      </c>
      <c r="I13" s="3" t="s">
        <v>71</v>
      </c>
      <c r="J13" s="3" t="s">
        <v>72</v>
      </c>
      <c r="K13" s="3" t="s">
        <v>73</v>
      </c>
    </row>
    <row r="14" customFormat="false" ht="14.25" hidden="false" customHeight="false" outlineLevel="0" collapsed="false">
      <c r="A14" s="0" t="s">
        <v>74</v>
      </c>
      <c r="B14" s="0" t="n">
        <v>2</v>
      </c>
      <c r="C14" s="1" t="s">
        <v>12</v>
      </c>
      <c r="F14" s="2" t="s">
        <v>75</v>
      </c>
      <c r="G14" s="2" t="n">
        <f aca="false">9.59/30</f>
        <v>0.319666666666667</v>
      </c>
      <c r="H14" s="3" t="s">
        <v>76</v>
      </c>
      <c r="I14" s="3" t="s">
        <v>56</v>
      </c>
      <c r="J14" s="3" t="s">
        <v>56</v>
      </c>
      <c r="K14" s="3" t="s">
        <v>77</v>
      </c>
    </row>
    <row r="15" customFormat="false" ht="14.25" hidden="false" customHeight="false" outlineLevel="0" collapsed="false">
      <c r="A15" s="0" t="s">
        <v>78</v>
      </c>
      <c r="B15" s="0" t="n">
        <v>16</v>
      </c>
      <c r="C15" s="1" t="s">
        <v>12</v>
      </c>
      <c r="F15" s="2" t="s">
        <v>79</v>
      </c>
      <c r="G15" s="2" t="n">
        <f aca="false">13.99/6</f>
        <v>2.33166666666667</v>
      </c>
      <c r="H15" s="3" t="s">
        <v>80</v>
      </c>
      <c r="I15" s="3" t="s">
        <v>56</v>
      </c>
      <c r="J15" s="3" t="s">
        <v>56</v>
      </c>
      <c r="K15" s="3" t="s">
        <v>81</v>
      </c>
    </row>
    <row r="16" customFormat="false" ht="14.25" hidden="false" customHeight="false" outlineLevel="0" collapsed="false">
      <c r="A16" s="0" t="s">
        <v>82</v>
      </c>
      <c r="B16" s="0" t="n">
        <v>4</v>
      </c>
      <c r="C16" s="1" t="s">
        <v>12</v>
      </c>
      <c r="F16" s="2" t="s">
        <v>83</v>
      </c>
      <c r="G16" s="2" t="s">
        <v>84</v>
      </c>
      <c r="H16" s="3" t="s">
        <v>56</v>
      </c>
      <c r="I16" s="3" t="s">
        <v>56</v>
      </c>
      <c r="J16" s="3" t="s">
        <v>56</v>
      </c>
    </row>
    <row r="17" customFormat="false" ht="14.25" hidden="false" customHeight="false" outlineLevel="0" collapsed="false">
      <c r="A17" s="0" t="s">
        <v>85</v>
      </c>
      <c r="B17" s="0" t="n">
        <v>10</v>
      </c>
      <c r="C17" s="1" t="s">
        <v>12</v>
      </c>
      <c r="F17" s="2" t="s">
        <v>56</v>
      </c>
      <c r="G17" s="2" t="s">
        <v>56</v>
      </c>
      <c r="H17" s="3" t="s">
        <v>56</v>
      </c>
      <c r="I17" s="3" t="s">
        <v>86</v>
      </c>
    </row>
    <row r="18" customFormat="false" ht="14.25" hidden="false" customHeight="false" outlineLevel="0" collapsed="false">
      <c r="A18" s="0" t="s">
        <v>87</v>
      </c>
      <c r="B18" s="0" t="n">
        <v>3</v>
      </c>
      <c r="C18" s="1" t="s">
        <v>12</v>
      </c>
      <c r="F18" s="2" t="s">
        <v>56</v>
      </c>
      <c r="G18" s="2" t="s">
        <v>56</v>
      </c>
      <c r="H18" s="3" t="s">
        <v>56</v>
      </c>
    </row>
    <row r="19" customFormat="false" ht="14.25" hidden="false" customHeight="false" outlineLevel="0" collapsed="false">
      <c r="A19" s="0" t="s">
        <v>88</v>
      </c>
      <c r="B19" s="0" t="n">
        <v>4</v>
      </c>
      <c r="F19" s="2" t="s">
        <v>89</v>
      </c>
      <c r="G19" s="2" t="s">
        <v>90</v>
      </c>
      <c r="H19" s="3" t="s">
        <v>56</v>
      </c>
      <c r="I19" s="3" t="s">
        <v>56</v>
      </c>
      <c r="J19" s="3" t="s">
        <v>56</v>
      </c>
      <c r="K19" s="3" t="s">
        <v>91</v>
      </c>
    </row>
    <row r="20" customFormat="false" ht="14.25" hidden="false" customHeight="false" outlineLevel="0" collapsed="false">
      <c r="A20" s="0" t="s">
        <v>92</v>
      </c>
      <c r="B20" s="0" t="n">
        <v>1</v>
      </c>
      <c r="F20" s="2" t="s">
        <v>93</v>
      </c>
      <c r="G20" s="2" t="n">
        <v>3</v>
      </c>
      <c r="H20" s="3" t="s">
        <v>56</v>
      </c>
      <c r="I20" s="3" t="s">
        <v>56</v>
      </c>
      <c r="J20" s="3" t="s">
        <v>56</v>
      </c>
      <c r="K20" s="3" t="s">
        <v>94</v>
      </c>
    </row>
    <row r="21" customFormat="false" ht="14.25" hidden="false" customHeight="false" outlineLevel="0" collapsed="false">
      <c r="A21" s="0" t="s">
        <v>95</v>
      </c>
      <c r="B21" s="0" t="n">
        <v>1</v>
      </c>
      <c r="F21" s="2" t="s">
        <v>96</v>
      </c>
      <c r="G21" s="2" t="s">
        <v>97</v>
      </c>
      <c r="H21" s="3" t="s">
        <v>56</v>
      </c>
      <c r="I21" s="3" t="s">
        <v>56</v>
      </c>
      <c r="J21" s="3" t="s">
        <v>56</v>
      </c>
      <c r="K21" s="3" t="s">
        <v>98</v>
      </c>
    </row>
    <row r="22" customFormat="false" ht="14.25" hidden="false" customHeight="false" outlineLevel="0" collapsed="false">
      <c r="A22" s="0" t="s">
        <v>99</v>
      </c>
      <c r="B22" s="0" t="n">
        <v>1</v>
      </c>
      <c r="F22" s="2" t="s">
        <v>100</v>
      </c>
      <c r="G22" s="2" t="n">
        <v>10</v>
      </c>
      <c r="H22" s="3" t="s">
        <v>56</v>
      </c>
      <c r="I22" s="3" t="s">
        <v>56</v>
      </c>
      <c r="J22" s="3" t="s">
        <v>56</v>
      </c>
      <c r="K22" s="3" t="s">
        <v>101</v>
      </c>
    </row>
    <row r="23" customFormat="false" ht="14.25" hidden="false" customHeight="false" outlineLevel="0" collapsed="false">
      <c r="A23" s="0" t="s">
        <v>102</v>
      </c>
      <c r="B23" s="0" t="n">
        <v>1</v>
      </c>
      <c r="F23" s="2" t="s">
        <v>103</v>
      </c>
      <c r="G23" s="2" t="n">
        <v>5</v>
      </c>
      <c r="H23" s="3" t="s">
        <v>56</v>
      </c>
      <c r="I23" s="3" t="s">
        <v>56</v>
      </c>
      <c r="J23" s="3" t="s">
        <v>56</v>
      </c>
      <c r="K23" s="3" t="s">
        <v>104</v>
      </c>
    </row>
    <row r="24" customFormat="false" ht="14.25" hidden="false" customHeight="false" outlineLevel="0" collapsed="false">
      <c r="A24" s="0" t="s">
        <v>105</v>
      </c>
      <c r="B24" s="0" t="n">
        <v>2</v>
      </c>
      <c r="E24" s="3" t="s">
        <v>13</v>
      </c>
      <c r="F24" s="2" t="s">
        <v>106</v>
      </c>
      <c r="G24" s="2" t="n">
        <v>0</v>
      </c>
      <c r="H24" s="3" t="s">
        <v>56</v>
      </c>
      <c r="I24" s="3" t="s">
        <v>56</v>
      </c>
      <c r="J24" s="3" t="s">
        <v>56</v>
      </c>
      <c r="K24" s="3" t="s">
        <v>107</v>
      </c>
    </row>
    <row r="25" customFormat="false" ht="14.25" hidden="false" customHeight="false" outlineLevel="0" collapsed="false">
      <c r="A25" s="0" t="s">
        <v>108</v>
      </c>
      <c r="B25" s="0" t="n">
        <v>1</v>
      </c>
      <c r="F25" s="2" t="s">
        <v>109</v>
      </c>
      <c r="G25" s="2" t="s">
        <v>110</v>
      </c>
      <c r="H25" s="3" t="s">
        <v>56</v>
      </c>
      <c r="I25" s="3" t="s">
        <v>56</v>
      </c>
      <c r="J25" s="3" t="s">
        <v>56</v>
      </c>
      <c r="K25" s="3" t="s">
        <v>111</v>
      </c>
    </row>
    <row r="26" customFormat="false" ht="14.25" hidden="false" customHeight="false" outlineLevel="0" collapsed="false">
      <c r="A26" s="0" t="s">
        <v>112</v>
      </c>
      <c r="B26" s="0" t="n">
        <v>2</v>
      </c>
      <c r="F26" s="2" t="s">
        <v>14</v>
      </c>
      <c r="G26" s="3" t="s">
        <v>113</v>
      </c>
      <c r="H26" s="3" t="s">
        <v>114</v>
      </c>
      <c r="I26" s="3" t="s">
        <v>115</v>
      </c>
      <c r="J26" s="3" t="s">
        <v>116</v>
      </c>
      <c r="K26" s="3" t="s">
        <v>117</v>
      </c>
    </row>
    <row r="27" customFormat="false" ht="14.25" hidden="false" customHeight="false" outlineLevel="0" collapsed="false">
      <c r="A27" s="0" t="s">
        <v>118</v>
      </c>
      <c r="B27" s="0" t="n">
        <v>2</v>
      </c>
      <c r="F27" s="2" t="s">
        <v>119</v>
      </c>
      <c r="G27" s="3" t="s">
        <v>120</v>
      </c>
      <c r="H27" s="3" t="s">
        <v>121</v>
      </c>
      <c r="I27" s="3" t="s">
        <v>56</v>
      </c>
      <c r="J27" s="3" t="s">
        <v>122</v>
      </c>
      <c r="K27" s="3" t="s">
        <v>123</v>
      </c>
    </row>
    <row r="28" customFormat="false" ht="14.25" hidden="false" customHeight="false" outlineLevel="0" collapsed="false">
      <c r="A28" s="0" t="s">
        <v>124</v>
      </c>
      <c r="B28" s="0" t="n">
        <v>4</v>
      </c>
      <c r="F28" s="2" t="s">
        <v>125</v>
      </c>
      <c r="G28" s="3" t="n">
        <f aca="false">24/10</f>
        <v>2.4</v>
      </c>
      <c r="H28" s="3" t="s">
        <v>126</v>
      </c>
      <c r="I28" s="3" t="s">
        <v>127</v>
      </c>
      <c r="J28" s="3" t="s">
        <v>128</v>
      </c>
      <c r="K28" s="3" t="s">
        <v>129</v>
      </c>
    </row>
    <row r="29" customFormat="false" ht="14.25" hidden="false" customHeight="false" outlineLevel="0" collapsed="false">
      <c r="A29" s="0" t="s">
        <v>130</v>
      </c>
      <c r="B29" s="0" t="n">
        <v>2</v>
      </c>
      <c r="F29" s="2" t="s">
        <v>131</v>
      </c>
      <c r="G29" s="3" t="s">
        <v>132</v>
      </c>
      <c r="H29" s="3" t="s">
        <v>133</v>
      </c>
      <c r="I29" s="3" t="s">
        <v>134</v>
      </c>
      <c r="J29" s="3" t="s">
        <v>135</v>
      </c>
      <c r="K29" s="3" t="s">
        <v>136</v>
      </c>
    </row>
    <row r="30" customFormat="false" ht="14.25" hidden="false" customHeight="false" outlineLevel="0" collapsed="false">
      <c r="A30" s="0" t="s">
        <v>137</v>
      </c>
      <c r="B30" s="0" t="n">
        <v>2</v>
      </c>
      <c r="F30" s="2" t="s">
        <v>138</v>
      </c>
      <c r="G30" s="3" t="s">
        <v>139</v>
      </c>
      <c r="H30" s="3" t="s">
        <v>140</v>
      </c>
      <c r="I30" s="3" t="s">
        <v>141</v>
      </c>
      <c r="J30" s="3" t="s">
        <v>142</v>
      </c>
      <c r="K30" s="3" t="s">
        <v>143</v>
      </c>
    </row>
    <row r="31" customFormat="false" ht="14.25" hidden="false" customHeight="false" outlineLevel="0" collapsed="false">
      <c r="A31" s="0" t="s">
        <v>144</v>
      </c>
      <c r="B31" s="0" t="n">
        <v>2</v>
      </c>
      <c r="F31" s="2" t="s">
        <v>14</v>
      </c>
      <c r="G31" s="3" t="s">
        <v>69</v>
      </c>
      <c r="H31" s="3" t="s">
        <v>145</v>
      </c>
      <c r="I31" s="3" t="s">
        <v>146</v>
      </c>
      <c r="J31" s="3" t="s">
        <v>147</v>
      </c>
      <c r="K31" s="3" t="s">
        <v>148</v>
      </c>
    </row>
    <row r="32" customFormat="false" ht="14.25" hidden="false" customHeight="false" outlineLevel="0" collapsed="false">
      <c r="A32" s="0" t="s">
        <v>149</v>
      </c>
      <c r="B32" s="0" t="n">
        <v>14</v>
      </c>
      <c r="F32" s="2" t="s">
        <v>150</v>
      </c>
      <c r="G32" s="3" t="n">
        <f aca="false">7.99/10</f>
        <v>0.799</v>
      </c>
      <c r="H32" s="3" t="s">
        <v>151</v>
      </c>
      <c r="I32" s="3" t="s">
        <v>56</v>
      </c>
      <c r="J32" s="3" t="s">
        <v>56</v>
      </c>
      <c r="K32" s="3" t="s">
        <v>152</v>
      </c>
    </row>
    <row r="33" customFormat="false" ht="14.25" hidden="false" customHeight="false" outlineLevel="0" collapsed="false">
      <c r="A33" s="0" t="s">
        <v>153</v>
      </c>
      <c r="B33" s="0" t="n">
        <v>2</v>
      </c>
      <c r="F33" s="2" t="s">
        <v>154</v>
      </c>
      <c r="G33" s="3" t="n">
        <f aca="false">11.99/2</f>
        <v>5.995</v>
      </c>
      <c r="H33" s="3" t="s">
        <v>155</v>
      </c>
      <c r="I33" s="3" t="s">
        <v>56</v>
      </c>
      <c r="J33" s="3" t="s">
        <v>56</v>
      </c>
      <c r="K33" s="3" t="s">
        <v>156</v>
      </c>
    </row>
    <row r="34" customFormat="false" ht="14.25" hidden="false" customHeight="false" outlineLevel="0" collapsed="false">
      <c r="A34" s="0" t="s">
        <v>157</v>
      </c>
      <c r="B34" s="0" t="n">
        <v>1</v>
      </c>
      <c r="F34" s="2" t="s">
        <v>158</v>
      </c>
      <c r="G34" s="3" t="s">
        <v>60</v>
      </c>
      <c r="H34" s="3" t="s">
        <v>159</v>
      </c>
      <c r="I34" s="3" t="s">
        <v>56</v>
      </c>
      <c r="J34" s="3" t="s">
        <v>56</v>
      </c>
      <c r="K34" s="3" t="s">
        <v>160</v>
      </c>
    </row>
    <row r="35" customFormat="false" ht="14.25" hidden="false" customHeight="false" outlineLevel="0" collapsed="false">
      <c r="A35" s="0" t="s">
        <v>161</v>
      </c>
      <c r="B35" s="0" t="n">
        <v>10</v>
      </c>
      <c r="F35" s="2" t="s">
        <v>162</v>
      </c>
      <c r="G35" s="3" t="n">
        <f aca="false">6.99/10</f>
        <v>0.699</v>
      </c>
      <c r="H35" s="3" t="s">
        <v>163</v>
      </c>
      <c r="I35" s="3" t="s">
        <v>56</v>
      </c>
      <c r="J35" s="3" t="s">
        <v>56</v>
      </c>
      <c r="K35" s="3" t="s">
        <v>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2026-09-21T19:41:19Z</dcterms:created>
  <dc:creator>Lee Gillie</dc:creator>
  <dc:description/>
  <dc:language>en-US</dc:language>
  <cp:lastModifiedBy>Lee Gillie</cp:lastModifiedBy>
  <dcterms:modified xsi:type="dcterms:W3CDTF">2026-09-22T22:11:00Z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